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Lumeo Analytics — FY2026 Operating Model Assumptions</t>
        </is>
      </c>
    </row>
    <row r="2">
      <c r="A2" s="2" t="inlineStr">
        <is>
          <t>Starting customers (Jan)</t>
        </is>
      </c>
      <c r="B2" s="3" t="n">
        <v>220</v>
      </c>
    </row>
    <row r="3">
      <c r="A3" s="2" t="inlineStr">
        <is>
          <t>Monthly growth rate</t>
        </is>
      </c>
      <c r="B3" s="4" t="n">
        <v>0.08</v>
      </c>
    </row>
    <row r="4">
      <c r="A4" s="2" t="inlineStr">
        <is>
          <t>Monthly churn rate</t>
        </is>
      </c>
      <c r="B4" s="4" t="n">
        <v>0.03</v>
      </c>
    </row>
    <row r="5">
      <c r="A5" s="2" t="inlineStr">
        <is>
          <t>Price per seat / month ($)</t>
        </is>
      </c>
      <c r="B5" s="5" t="n">
        <v>99</v>
      </c>
    </row>
    <row r="6">
      <c r="A6" s="2" t="inlineStr">
        <is>
          <t>CAC — cost per new customer ($)</t>
        </is>
      </c>
      <c r="B6" s="5" t="n">
        <v>1150</v>
      </c>
    </row>
    <row r="8">
      <c r="A8" s="2" t="inlineStr">
        <is>
          <t>Monthly payroll ($)</t>
        </is>
      </c>
      <c r="B8" s="5" t="n">
        <v>185000</v>
      </c>
    </row>
    <row r="9">
      <c r="A9" s="2" t="inlineStr">
        <is>
          <t>Office &amp; misc ($ / month)</t>
        </is>
      </c>
      <c r="B9" s="5" t="n">
        <v>22000</v>
      </c>
    </row>
    <row r="10">
      <c r="A10" s="2" t="inlineStr">
        <is>
          <t>Infra cost per customer ($ / month)</t>
        </is>
      </c>
      <c r="B10" s="5" t="n">
        <v>11</v>
      </c>
    </row>
    <row r="11">
      <c r="A11" s="2" t="inlineStr">
        <is>
          <t>Starting cash ($)</t>
        </is>
      </c>
      <c r="B11" s="5" t="n">
        <v>2400000</v>
      </c>
    </row>
    <row r="12">
      <c r="A12" s="2" t="inlineStr">
        <is>
          <t>Support cost per customer ($ / month)</t>
        </is>
      </c>
      <c r="B12" s="5" t="n">
        <v>6</v>
      </c>
    </row>
    <row r="99">
      <c r="Z99" t="inlineStr">
        <is>
          <t>pytest-36ed53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Revenue Build</t>
        </is>
      </c>
    </row>
    <row r="2">
      <c r="A2" s="6" t="inlineStr">
        <is>
          <t>Month</t>
        </is>
      </c>
      <c r="B2" s="6" t="inlineStr">
        <is>
          <t>Jan</t>
        </is>
      </c>
      <c r="C2" s="6" t="inlineStr">
        <is>
          <t>Feb</t>
        </is>
      </c>
      <c r="D2" s="6" t="inlineStr">
        <is>
          <t>Mar</t>
        </is>
      </c>
      <c r="E2" s="6" t="inlineStr">
        <is>
          <t>Apr</t>
        </is>
      </c>
      <c r="F2" s="6" t="inlineStr">
        <is>
          <t>May</t>
        </is>
      </c>
      <c r="G2" s="6" t="inlineStr">
        <is>
          <t>Jun</t>
        </is>
      </c>
      <c r="H2" s="6" t="inlineStr">
        <is>
          <t>Jul</t>
        </is>
      </c>
      <c r="I2" s="6" t="inlineStr">
        <is>
          <t>Aug</t>
        </is>
      </c>
      <c r="J2" s="6" t="inlineStr">
        <is>
          <t>Sep</t>
        </is>
      </c>
      <c r="K2" s="6" t="inlineStr">
        <is>
          <t>Oct</t>
        </is>
      </c>
      <c r="L2" s="6" t="inlineStr">
        <is>
          <t>Nov</t>
        </is>
      </c>
      <c r="M2" s="6" t="inlineStr">
        <is>
          <t>Dec</t>
        </is>
      </c>
    </row>
    <row r="3">
      <c r="A3" t="inlineStr">
        <is>
          <t>Customers (EOM)</t>
        </is>
      </c>
      <c r="B3" s="3">
        <f>Assumptions!B2</f>
        <v/>
      </c>
      <c r="C3" s="3">
        <f>ROUND(B3*(1+Assumptions!$B$3-Assumptions!$B$4),0)</f>
        <v/>
      </c>
      <c r="D3" s="3">
        <f>ROUND(C3*(1+Assumptions!$B$3-Assumptions!$B$4),0)</f>
        <v/>
      </c>
      <c r="E3" s="3">
        <f>ROUND(D3*(1+Assumptions!$B$3-Assumptions!$B$4),0)</f>
        <v/>
      </c>
      <c r="F3" s="3">
        <f>ROUND(E3*(1+Assumptions!$B$3-Assumptions!$B$4),0)</f>
        <v/>
      </c>
      <c r="G3" s="3">
        <f>ROUND(F3*(1+0.15-Assumptions!$B$4),0)</f>
        <v/>
      </c>
      <c r="H3" s="3">
        <f>ROUND(G3*(1+Assumptions!$B$3-Assumptions!$B$4),0)</f>
        <v/>
      </c>
      <c r="I3" s="3">
        <f>ROUND(H3*(1+Assumptions!$B$3-Assumptions!$B$4),0)</f>
        <v/>
      </c>
      <c r="J3" s="3">
        <f>ROUND(I3*(1+Assumptions!$B$3-Assumptions!$B$4),0)</f>
        <v/>
      </c>
      <c r="K3" s="3">
        <f>ROUND(J3*(1+Assumptions!$B$3-Assumptions!$B$4),0)</f>
        <v/>
      </c>
      <c r="L3" s="3">
        <f>ROUND(K3*(1+Assumptions!$B$3-Assumptions!$B$4),0)</f>
        <v/>
      </c>
      <c r="M3" s="3">
        <f>ROUND(L3*(1+Assumptions!$B$3-Assumptions!$B$4),0)</f>
        <v/>
      </c>
    </row>
    <row r="4">
      <c r="A4" t="inlineStr">
        <is>
          <t>New customers</t>
        </is>
      </c>
      <c r="B4" s="3">
        <f>ROUND(Assumptions!B2*Assumptions!$B$3,0)</f>
        <v/>
      </c>
      <c r="C4" s="3">
        <f>ROUND(B3*Assumptions!$B$3,0)</f>
        <v/>
      </c>
      <c r="D4" s="3">
        <f>ROUND(C3*Assumptions!$B$3,0)</f>
        <v/>
      </c>
      <c r="E4" s="3">
        <f>ROUND(D3*Assumptions!$B$3,0)</f>
        <v/>
      </c>
      <c r="F4" s="3">
        <f>ROUND(E3*Assumptions!$B$3,0)</f>
        <v/>
      </c>
      <c r="G4" s="3">
        <f>ROUND(F3*Assumptions!$B$3,0)</f>
        <v/>
      </c>
      <c r="H4" s="3">
        <f>ROUND(G3*Assumptions!$B$3,0)</f>
        <v/>
      </c>
      <c r="I4" s="3">
        <f>ROUND(H3*Assumptions!$B$3,0)</f>
        <v/>
      </c>
      <c r="J4" s="3">
        <f>ROUND(I3*Assumptions!$B$3,0)</f>
        <v/>
      </c>
      <c r="K4" s="3">
        <f>ROUND(J3*Assumptions!$B$3,0)</f>
        <v/>
      </c>
      <c r="L4" s="3">
        <f>ROUND(K3*Assumptions!$B$3,0)</f>
        <v/>
      </c>
      <c r="M4" s="3">
        <f>ROUND(L3*Assumptions!$B$3,0)</f>
        <v/>
      </c>
    </row>
    <row r="5">
      <c r="A5" t="inlineStr">
        <is>
          <t>MRR ($)</t>
        </is>
      </c>
      <c r="B5" s="5">
        <f>B3*Assumptions!$B$5</f>
        <v/>
      </c>
      <c r="C5" s="5">
        <f>C3*Assumptions!$B$5</f>
        <v/>
      </c>
      <c r="D5" s="5">
        <f>D3*Assumptions!$B$5</f>
        <v/>
      </c>
      <c r="E5" s="5">
        <f>E3*Assumptions!$B$5</f>
        <v/>
      </c>
      <c r="F5" s="5">
        <f>F3*Assumptions!$B$5</f>
        <v/>
      </c>
      <c r="G5" s="5">
        <f>G3*Assumptions!$B$5</f>
        <v/>
      </c>
      <c r="H5" s="5">
        <f>H3*Assumptions!$B$5</f>
        <v/>
      </c>
      <c r="I5" s="5">
        <f>I3*Assumptions!$B$5</f>
        <v/>
      </c>
      <c r="J5" s="5">
        <f>J3*Assumptions!$B$5</f>
        <v/>
      </c>
      <c r="K5" s="5" t="n">
        <v>34452</v>
      </c>
      <c r="L5" s="5">
        <f>L3*Assumptions!$B$5</f>
        <v/>
      </c>
      <c r="M5" s="5">
        <f>M3*Assumptions!$B$5</f>
        <v/>
      </c>
    </row>
    <row r="6">
      <c r="A6" t="inlineStr">
        <is>
          <t>ARR run-rate ($)</t>
        </is>
      </c>
      <c r="B6" s="5">
        <f>B5*12</f>
        <v/>
      </c>
      <c r="C6" s="5">
        <f>C5*12</f>
        <v/>
      </c>
      <c r="D6" s="5">
        <f>D5*12</f>
        <v/>
      </c>
      <c r="E6" s="5">
        <f>E5*12</f>
        <v/>
      </c>
      <c r="F6" s="5">
        <f>F5*12</f>
        <v/>
      </c>
      <c r="G6" s="5">
        <f>G5*12</f>
        <v/>
      </c>
      <c r="H6" s="5">
        <f>H5*12</f>
        <v/>
      </c>
      <c r="I6" s="5">
        <f>I5*12</f>
        <v/>
      </c>
      <c r="J6" s="5">
        <f>J5*12</f>
        <v/>
      </c>
      <c r="K6" s="5">
        <f>K5*12</f>
        <v/>
      </c>
      <c r="L6" s="5">
        <f>L5*12</f>
        <v/>
      </c>
      <c r="M6" s="5">
        <f>M5*12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Cost Build</t>
        </is>
      </c>
    </row>
    <row r="2">
      <c r="A2" s="6" t="inlineStr">
        <is>
          <t>Month</t>
        </is>
      </c>
      <c r="B2" s="6" t="inlineStr">
        <is>
          <t>Jan</t>
        </is>
      </c>
      <c r="C2" s="6" t="inlineStr">
        <is>
          <t>Feb</t>
        </is>
      </c>
      <c r="D2" s="6" t="inlineStr">
        <is>
          <t>Mar</t>
        </is>
      </c>
      <c r="E2" s="6" t="inlineStr">
        <is>
          <t>Apr</t>
        </is>
      </c>
      <c r="F2" s="6" t="inlineStr">
        <is>
          <t>May</t>
        </is>
      </c>
      <c r="G2" s="6" t="inlineStr">
        <is>
          <t>Jun</t>
        </is>
      </c>
      <c r="H2" s="6" t="inlineStr">
        <is>
          <t>Jul</t>
        </is>
      </c>
      <c r="I2" s="6" t="inlineStr">
        <is>
          <t>Aug</t>
        </is>
      </c>
      <c r="J2" s="6" t="inlineStr">
        <is>
          <t>Sep</t>
        </is>
      </c>
      <c r="K2" s="6" t="inlineStr">
        <is>
          <t>Oct</t>
        </is>
      </c>
      <c r="L2" s="6" t="inlineStr">
        <is>
          <t>Nov</t>
        </is>
      </c>
      <c r="M2" s="6" t="inlineStr">
        <is>
          <t>Dec</t>
        </is>
      </c>
    </row>
    <row r="3">
      <c r="A3" t="inlineStr">
        <is>
          <t>Payroll ($)</t>
        </is>
      </c>
      <c r="B3" s="5">
        <f>Assumptions!$B$8</f>
        <v/>
      </c>
      <c r="C3" s="5">
        <f>Assumptions!$B$8</f>
        <v/>
      </c>
      <c r="D3" s="5">
        <f>Assumptions!$B$8</f>
        <v/>
      </c>
      <c r="E3" s="5">
        <f>Assumptions!$B$8</f>
        <v/>
      </c>
      <c r="F3" s="5">
        <f>Assumptions!$B$8</f>
        <v/>
      </c>
      <c r="G3" s="5">
        <f>Assumptions!$B$8</f>
        <v/>
      </c>
      <c r="H3" s="5">
        <f>Assumptions!$B$8</f>
        <v/>
      </c>
      <c r="I3" s="5">
        <f>Assumptions!$B$8</f>
        <v/>
      </c>
      <c r="J3" s="5">
        <f>Assumptions!$B$8</f>
        <v/>
      </c>
      <c r="K3" s="5">
        <f>Assumptions!$B$8</f>
        <v/>
      </c>
      <c r="L3" s="5">
        <f>Assumptions!$B$8</f>
        <v/>
      </c>
      <c r="M3" s="5">
        <f>Assumptions!$B$8</f>
        <v/>
      </c>
    </row>
    <row r="4">
      <c r="A4" t="inlineStr">
        <is>
          <t>Marketing / CAC ($)</t>
        </is>
      </c>
      <c r="B4" s="5">
        <f>Revenue!B4*Assumptions!$B$6</f>
        <v/>
      </c>
      <c r="C4" s="5">
        <f>Revenue!C4*Assumptions!$B$6</f>
        <v/>
      </c>
      <c r="D4" s="5">
        <f>Revenue!D4*Assumptions!$B$6</f>
        <v/>
      </c>
      <c r="E4" s="5">
        <f>Revenue!E4*Assumptions!$B$6</f>
        <v/>
      </c>
      <c r="F4" s="5">
        <f>Revenue!F4*Assumptions!$B$6</f>
        <v/>
      </c>
      <c r="G4" s="5">
        <f>Revenue!G4*Assumptions!$B$6</f>
        <v/>
      </c>
      <c r="H4" s="5">
        <f>Revenue!H4*Assumptions!$B$6</f>
        <v/>
      </c>
      <c r="I4" s="5">
        <f>Revenue!I4*Assumptions!$B$6</f>
        <v/>
      </c>
      <c r="J4" s="5">
        <f>Revenue!J4*Assumptions!$B$6</f>
        <v/>
      </c>
      <c r="K4" s="5">
        <f>Revenue!K4*Assumptions!$B$6</f>
        <v/>
      </c>
      <c r="L4" s="5">
        <f>Revenue!L4*Assumptions!$B$6</f>
        <v/>
      </c>
      <c r="M4" s="5">
        <f>Revenue!M4*Assumptions!$B$6</f>
        <v/>
      </c>
    </row>
    <row r="5">
      <c r="A5" t="inlineStr">
        <is>
          <t>Infrastructure ($)</t>
        </is>
      </c>
      <c r="B5" s="5">
        <f>Revenue!B3*Assumptions!$B$10</f>
        <v/>
      </c>
      <c r="C5" s="5">
        <f>Revenue!C3*Assumptions!$B$10</f>
        <v/>
      </c>
      <c r="D5" s="5">
        <f>Revenue!D3*Assumptions!$B$10</f>
        <v/>
      </c>
      <c r="E5" s="5">
        <f>Revenue!E3*Assumptions!$B$10</f>
        <v/>
      </c>
      <c r="F5" s="5">
        <f>Revenue!F3*Assumptions!$B$10</f>
        <v/>
      </c>
      <c r="G5" s="5">
        <f>Revenue!G3*Assumptions!$B$10</f>
        <v/>
      </c>
      <c r="H5" s="5">
        <f>Revenue!H3*Assumptions!$B$10</f>
        <v/>
      </c>
      <c r="I5" s="5">
        <f>Revenue!I3*Assumptions!$B$10</f>
        <v/>
      </c>
      <c r="J5" s="5">
        <f>Revenue!J3*Assumptions!$B$10</f>
        <v/>
      </c>
      <c r="K5" s="5">
        <f>Revenue!K3*Assumptions!$B$10</f>
        <v/>
      </c>
      <c r="L5" s="5">
        <f>Revenue!L3*Assumptions!$B$10</f>
        <v/>
      </c>
      <c r="M5" s="5">
        <f>Revenue!M3*Assumptions!$B$10</f>
        <v/>
      </c>
    </row>
    <row r="6">
      <c r="A6" t="inlineStr">
        <is>
          <t>Office &amp; misc ($)</t>
        </is>
      </c>
      <c r="B6" s="5">
        <f>Assumptions!$B$9</f>
        <v/>
      </c>
      <c r="C6" s="5">
        <f>Assumptions!$B$9</f>
        <v/>
      </c>
      <c r="D6" s="5">
        <f>Assumptions!$B$9</f>
        <v/>
      </c>
      <c r="E6" s="5">
        <f>Assumptions!$B$9</f>
        <v/>
      </c>
      <c r="F6" s="5">
        <f>Assumptions!$B$9</f>
        <v/>
      </c>
      <c r="G6" s="5">
        <f>Assumptions!$B$9</f>
        <v/>
      </c>
      <c r="H6" s="5">
        <f>Assumptions!$B$9</f>
        <v/>
      </c>
      <c r="I6" s="5">
        <f>Assumptions!$B$9</f>
        <v/>
      </c>
      <c r="J6" s="5">
        <f>Assumptions!$B$9</f>
        <v/>
      </c>
      <c r="K6" s="5">
        <f>Assumptions!$B$9</f>
        <v/>
      </c>
      <c r="L6" s="5">
        <f>Assumptions!$B$9</f>
        <v/>
      </c>
      <c r="M6" s="5">
        <f>Assumptions!$B$9</f>
        <v/>
      </c>
    </row>
    <row r="7">
      <c r="A7" t="inlineStr">
        <is>
          <t>Contractors &amp; one-time ($)</t>
        </is>
      </c>
      <c r="B7" s="5" t="n">
        <v>0</v>
      </c>
      <c r="C7" s="5" t="n">
        <v>0</v>
      </c>
      <c r="D7" s="5" t="n">
        <v>15000</v>
      </c>
      <c r="E7" s="5" t="n">
        <v>0</v>
      </c>
      <c r="F7" s="5" t="n">
        <v>0</v>
      </c>
      <c r="G7" s="5" t="n">
        <v>0</v>
      </c>
      <c r="H7" s="5" t="n">
        <v>8000</v>
      </c>
      <c r="I7" s="5" t="n">
        <v>0</v>
      </c>
      <c r="J7" s="5" t="n">
        <v>0</v>
      </c>
      <c r="K7" s="5" t="n">
        <v>12000</v>
      </c>
      <c r="L7" s="5" t="n">
        <v>0</v>
      </c>
      <c r="M7" s="5" t="n">
        <v>0</v>
      </c>
    </row>
    <row r="8">
      <c r="A8" t="inlineStr">
        <is>
          <t>Total costs ($)</t>
        </is>
      </c>
      <c r="B8" s="5">
        <f>SUM(B3:B6)</f>
        <v/>
      </c>
      <c r="C8" s="5">
        <f>SUM(C3:C6)</f>
        <v/>
      </c>
      <c r="D8" s="5">
        <f>SUM(D3:D6)</f>
        <v/>
      </c>
      <c r="E8" s="5">
        <f>SUM(E3:E6)</f>
        <v/>
      </c>
      <c r="F8" s="5">
        <f>SUM(F3:F6)</f>
        <v/>
      </c>
      <c r="G8" s="5">
        <f>SUM(G3:G6)</f>
        <v/>
      </c>
      <c r="H8" s="5">
        <f>SUM(H3:H6)</f>
        <v/>
      </c>
      <c r="I8" s="5">
        <f>SUM(I3:I6)</f>
        <v/>
      </c>
      <c r="J8" s="5">
        <f>SUM(J3:J6)</f>
        <v/>
      </c>
      <c r="K8" s="5">
        <f>SUM(K3:K6)</f>
        <v/>
      </c>
      <c r="L8" s="5">
        <f>SUM(L3:L6)</f>
        <v/>
      </c>
      <c r="M8" s="5">
        <f>SUM(M3:M6)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Board Summary — FY2026</t>
        </is>
      </c>
    </row>
    <row r="3">
      <c r="A3" s="2" t="inlineStr">
        <is>
          <t>Total FY2026 revenue ($)</t>
        </is>
      </c>
      <c r="B3" s="5">
        <f>SUM(Revenue!B5:M5)</f>
        <v/>
      </c>
    </row>
    <row r="4">
      <c r="A4" s="2" t="inlineStr">
        <is>
          <t>Total FY2026 costs ($)</t>
        </is>
      </c>
      <c r="B4" s="5">
        <f>SUM(Costs!B8:M8)</f>
        <v/>
      </c>
    </row>
    <row r="5">
      <c r="A5" s="2" t="inlineStr">
        <is>
          <t>Net income ($)</t>
        </is>
      </c>
      <c r="B5" s="5">
        <f>B3-B4</f>
        <v/>
      </c>
    </row>
    <row r="6">
      <c r="A6" s="2" t="inlineStr">
        <is>
          <t>Ending cash ($)</t>
        </is>
      </c>
      <c r="B6" s="5">
        <f>Assumptions!B11+B5</f>
        <v/>
      </c>
    </row>
    <row r="7">
      <c r="A7" s="2" t="inlineStr">
        <is>
          <t>Avg monthly burn ($)</t>
        </is>
      </c>
      <c r="B7" s="5">
        <f>(B4-B3)/12</f>
        <v/>
      </c>
    </row>
    <row r="8">
      <c r="A8" s="2" t="inlineStr">
        <is>
          <t>Runway (months)</t>
        </is>
      </c>
      <c r="B8" s="7">
        <f>IF(B5&gt;0,"Profitable",Assumptions!B11/((B4-B3)/12))</f>
        <v/>
      </c>
    </row>
    <row r="10">
      <c r="A10" s="2" t="inlineStr">
        <is>
          <t>Dec ARR — exit run-rate ($)</t>
        </is>
      </c>
      <c r="B10" s="5">
        <f>Revenue!L6</f>
        <v/>
      </c>
    </row>
    <row r="11">
      <c r="A11" s="2" t="inlineStr">
        <is>
          <t>Customers at exit</t>
        </is>
      </c>
      <c r="B11" s="3">
        <f>Revenue!M3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2026-07-09T19:57:22Z</dcterms:created>
  <dcterms:modified xsi:type="dcterms:W3CDTF">2026-07-09T19:57:22Z</dcterms:modified>
</cp:coreProperties>
</file>